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urbayan\Desktop\"/>
    </mc:Choice>
  </mc:AlternateContent>
  <xr:revisionPtr revIDLastSave="0" documentId="8_{DBCC785D-25D8-4787-B81D-B84F5E0931A2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L7" i="1"/>
  <c r="K7" i="1"/>
  <c r="J7" i="1"/>
  <c r="I7" i="1"/>
  <c r="H7" i="1"/>
  <c r="G7" i="1"/>
  <c r="F7" i="1"/>
  <c r="M6" i="1"/>
  <c r="L6" i="1"/>
  <c r="K6" i="1"/>
  <c r="J6" i="1"/>
  <c r="I6" i="1"/>
  <c r="H6" i="1"/>
  <c r="G6" i="1"/>
  <c r="F6" i="1"/>
  <c r="M5" i="1"/>
  <c r="L5" i="1"/>
  <c r="K5" i="1"/>
  <c r="J5" i="1"/>
  <c r="I5" i="1"/>
  <c r="H5" i="1"/>
  <c r="G5" i="1"/>
  <c r="F5" i="1"/>
  <c r="M4" i="1"/>
  <c r="L4" i="1"/>
  <c r="K4" i="1"/>
  <c r="J4" i="1"/>
  <c r="I4" i="1"/>
  <c r="H4" i="1"/>
  <c r="G4" i="1"/>
  <c r="F4" i="1"/>
  <c r="M3" i="1"/>
  <c r="L3" i="1"/>
  <c r="K3" i="1"/>
  <c r="J3" i="1"/>
  <c r="I3" i="1"/>
  <c r="H3" i="1"/>
  <c r="G3" i="1"/>
  <c r="F3" i="1"/>
  <c r="M2" i="1"/>
  <c r="L2" i="1"/>
  <c r="K2" i="1"/>
  <c r="J2" i="1"/>
  <c r="I2" i="1"/>
  <c r="H2" i="1"/>
  <c r="G2" i="1"/>
  <c r="F2" i="1"/>
</calcChain>
</file>

<file path=xl/sharedStrings.xml><?xml version="1.0" encoding="utf-8"?>
<sst xmlns="http://schemas.openxmlformats.org/spreadsheetml/2006/main" count="34" uniqueCount="32">
  <si>
    <t>ProductID</t>
  </si>
  <si>
    <t>Product</t>
  </si>
  <si>
    <t>Sales</t>
  </si>
  <si>
    <t>Target</t>
  </si>
  <si>
    <t>Region</t>
  </si>
  <si>
    <t>Met Target</t>
  </si>
  <si>
    <t>Regional Bonus Eligible</t>
  </si>
  <si>
    <t>Commission Rate</t>
  </si>
  <si>
    <t>Bonus Amount</t>
  </si>
  <si>
    <t>Performance</t>
  </si>
  <si>
    <t>Price Tier</t>
  </si>
  <si>
    <t>Year-End Bonus</t>
  </si>
  <si>
    <t>High Performer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</si>
  <si>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</si>
  <si>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</si>
  <si>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</si>
  <si>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</si>
  <si>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</si>
  <si>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</si>
  <si>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</si>
  <si>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</si>
  <si>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</si>
  <si>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</si>
  <si>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Exercise Questions</t>
  </si>
  <si>
    <t>1. Use the IF function to evaluate whether each product met its sales target.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</si>
  <si>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</si>
  <si>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</si>
  <si>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</si>
  <si>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>5. Use the IF function to categorize sales performance as "Excellent" (&gt;=200), "Good" (&gt;=150), or "Needs Improvement" (&lt;150).</t>
  </si>
  <si>
    <t>6. Use the IF function to assign a price tier based on the sales value. "High" for sales &gt; 200, "Medium" for sales between 100 and 200, and "Low" for sales &lt; 100.</t>
  </si>
  <si>
    <t>7. Use the IF function to calculate the year-end bonus. If sales &gt;= 150 and region is "North", the bonus is $500, otherwise, it's $300.</t>
  </si>
  <si>
    <t>8. Use the IF function to mark high performers. A product is a high performer if its sales are in the top 25% of all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</si>
</sst>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1" xfId="0" applyFill="1" applyBorder="1"/>
    <xf numFmtId="9" fontId="0" fillId="3" borderId="1" xfId="0" applyNumberFormat="1" applyFill="1" applyBorder="1"/>
    <xf numFmtId="2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workbookViewId="0">
      <selection activeCell="L5" sqref="L5"/>
    </sheetView>
  </sheetViews>
  <sheetFormatPr defaultRowHeight="14.4" x14ac:dyDescent="0.3"/>
  <cols>
    <col min="1" max="1" width="9.44140625" bestFit="1" customWidth="1"/>
    <col min="2" max="2" width="9" bestFit="1" customWidth="1"/>
    <col min="3" max="3" width="5.21875" bestFit="1" customWidth="1"/>
    <col min="4" max="4" width="6.33203125" bestFit="1" customWidth="1"/>
    <col min="5" max="5" width="6.77734375" bestFit="1" customWidth="1"/>
    <col min="6" max="6" width="10.21875" bestFit="1" customWidth="1"/>
    <col min="7" max="7" width="20.44140625" bestFit="1" customWidth="1"/>
    <col min="8" max="8" width="15.5546875" bestFit="1" customWidth="1"/>
    <col min="9" max="9" width="13.6640625" bestFit="1" customWidth="1"/>
    <col min="10" max="10" width="17.77734375" bestFit="1" customWidth="1"/>
    <col min="11" max="11" width="8.6640625" bestFit="1" customWidth="1"/>
    <col min="12" max="12" width="14.33203125" bestFit="1" customWidth="1"/>
    <col min="13" max="13" width="13.886718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3">
        <v>101</v>
      </c>
      <c r="B2" s="3" t="s">
        <v>13</v>
      </c>
      <c r="C2" s="3">
        <v>120</v>
      </c>
      <c r="D2" s="3">
        <v>150</v>
      </c>
      <c r="E2" s="3" t="s">
        <v>14</v>
      </c>
      <c r="F2" s="3" t="str">
        <f t="shared" ref="F2:F7" si="0">IF(C2&gt;=D2,"Yes","No")</f>
        <v>No</v>
      </c>
      <c r="G2" s="3" t="str">
        <f t="shared" ref="G2:G7" si="1">IF(AND(E2="North",C2&gt;200),"Eligible","Not Eligible")</f>
        <v>Not Eligible</v>
      </c>
      <c r="H2" s="4">
        <f t="shared" ref="H2:H7" si="2">IF(C2&gt;=200,10%,IF(C2&gt;=150,7%,5%))</f>
        <v>0.05</v>
      </c>
      <c r="I2" s="5">
        <f t="shared" ref="I2:I7" si="3">IF(C2&gt;=D2,C2*10%,C2*5%)</f>
        <v>6</v>
      </c>
      <c r="J2" s="3" t="str">
        <f t="shared" ref="J2:J7" si="4">IF(C2&gt;=200,"Excellent",IF(C2&gt;=150,"Good","Needs Improvement"))</f>
        <v>Needs Improvement</v>
      </c>
      <c r="K2" s="3" t="str">
        <f t="shared" ref="K2:K7" si="5">IF(C2&gt;200,"High",IF(C2&gt;=100,"Medium","Low"))</f>
        <v>Medium</v>
      </c>
      <c r="L2" s="3">
        <f t="shared" ref="L2:L7" si="6">IF(AND(C2&gt;=150,E2="North"),500,300)</f>
        <v>300</v>
      </c>
      <c r="M2" s="3" t="str">
        <f t="shared" ref="M2:M7" si="7">IF(C2&gt;=PERCENTILE($C$2:$C$7,0.75),"High Performer","")</f>
        <v/>
      </c>
    </row>
    <row r="3" spans="1:13" x14ac:dyDescent="0.3">
      <c r="A3" s="3">
        <v>102</v>
      </c>
      <c r="B3" s="3" t="s">
        <v>15</v>
      </c>
      <c r="C3" s="3">
        <v>150</v>
      </c>
      <c r="D3" s="3">
        <v>140</v>
      </c>
      <c r="E3" s="3" t="s">
        <v>16</v>
      </c>
      <c r="F3" s="3" t="str">
        <f t="shared" si="0"/>
        <v>Yes</v>
      </c>
      <c r="G3" s="3" t="str">
        <f t="shared" si="1"/>
        <v>Not Eligible</v>
      </c>
      <c r="H3" s="4">
        <f t="shared" si="2"/>
        <v>7.0000000000000007E-2</v>
      </c>
      <c r="I3" s="5">
        <f t="shared" si="3"/>
        <v>15</v>
      </c>
      <c r="J3" s="3" t="str">
        <f t="shared" si="4"/>
        <v>Good</v>
      </c>
      <c r="K3" s="3" t="str">
        <f t="shared" si="5"/>
        <v>Medium</v>
      </c>
      <c r="L3" s="3">
        <f t="shared" si="6"/>
        <v>300</v>
      </c>
      <c r="M3" s="3" t="str">
        <f t="shared" si="7"/>
        <v/>
      </c>
    </row>
    <row r="4" spans="1:13" x14ac:dyDescent="0.3">
      <c r="A4" s="3">
        <v>103</v>
      </c>
      <c r="B4" s="3" t="s">
        <v>17</v>
      </c>
      <c r="C4" s="3">
        <v>200</v>
      </c>
      <c r="D4" s="3">
        <v>200</v>
      </c>
      <c r="E4" s="3" t="s">
        <v>18</v>
      </c>
      <c r="F4" s="3" t="str">
        <f t="shared" si="0"/>
        <v>Yes</v>
      </c>
      <c r="G4" s="3" t="str">
        <f t="shared" si="1"/>
        <v>Not Eligible</v>
      </c>
      <c r="H4" s="4">
        <f t="shared" si="2"/>
        <v>0.1</v>
      </c>
      <c r="I4" s="5">
        <f t="shared" si="3"/>
        <v>20</v>
      </c>
      <c r="J4" s="3" t="str">
        <f t="shared" si="4"/>
        <v>Excellent</v>
      </c>
      <c r="K4" s="3" t="str">
        <f t="shared" si="5"/>
        <v>Medium</v>
      </c>
      <c r="L4" s="3">
        <f t="shared" si="6"/>
        <v>300</v>
      </c>
      <c r="M4" s="3" t="str">
        <f t="shared" si="7"/>
        <v>High Performer</v>
      </c>
    </row>
    <row r="5" spans="1:13" x14ac:dyDescent="0.3">
      <c r="A5" s="3">
        <v>104</v>
      </c>
      <c r="B5" s="3" t="s">
        <v>19</v>
      </c>
      <c r="C5" s="3">
        <v>90</v>
      </c>
      <c r="D5" s="3">
        <v>100</v>
      </c>
      <c r="E5" s="3" t="s">
        <v>20</v>
      </c>
      <c r="F5" s="3" t="str">
        <f t="shared" si="0"/>
        <v>No</v>
      </c>
      <c r="G5" s="3" t="str">
        <f t="shared" si="1"/>
        <v>Not Eligible</v>
      </c>
      <c r="H5" s="4">
        <f t="shared" si="2"/>
        <v>0.05</v>
      </c>
      <c r="I5" s="5">
        <f t="shared" si="3"/>
        <v>4.5</v>
      </c>
      <c r="J5" s="3" t="str">
        <f t="shared" si="4"/>
        <v>Needs Improvement</v>
      </c>
      <c r="K5" s="3" t="str">
        <f t="shared" si="5"/>
        <v>Low</v>
      </c>
      <c r="L5" s="3">
        <f t="shared" si="6"/>
        <v>300</v>
      </c>
      <c r="M5" s="3" t="str">
        <f t="shared" si="7"/>
        <v/>
      </c>
    </row>
    <row r="6" spans="1:13" x14ac:dyDescent="0.3">
      <c r="A6" s="3">
        <v>105</v>
      </c>
      <c r="B6" s="3" t="s">
        <v>21</v>
      </c>
      <c r="C6" s="3">
        <v>220</v>
      </c>
      <c r="D6" s="3">
        <v>210</v>
      </c>
      <c r="E6" s="3" t="s">
        <v>14</v>
      </c>
      <c r="F6" s="3" t="str">
        <f t="shared" si="0"/>
        <v>Yes</v>
      </c>
      <c r="G6" s="3" t="str">
        <f t="shared" si="1"/>
        <v>Eligible</v>
      </c>
      <c r="H6" s="4">
        <f t="shared" si="2"/>
        <v>0.1</v>
      </c>
      <c r="I6" s="5">
        <f t="shared" si="3"/>
        <v>22</v>
      </c>
      <c r="J6" s="3" t="str">
        <f t="shared" si="4"/>
        <v>Excellent</v>
      </c>
      <c r="K6" s="3" t="str">
        <f t="shared" si="5"/>
        <v>High</v>
      </c>
      <c r="L6" s="3">
        <f t="shared" si="6"/>
        <v>500</v>
      </c>
      <c r="M6" s="3" t="str">
        <f t="shared" si="7"/>
        <v>High Performer</v>
      </c>
    </row>
    <row r="7" spans="1:13" x14ac:dyDescent="0.3">
      <c r="A7" s="3">
        <v>106</v>
      </c>
      <c r="B7" s="3" t="s">
        <v>22</v>
      </c>
      <c r="C7" s="3">
        <v>130</v>
      </c>
      <c r="D7" s="3">
        <v>160</v>
      </c>
      <c r="E7" s="3" t="s">
        <v>16</v>
      </c>
      <c r="F7" s="3" t="str">
        <f t="shared" si="0"/>
        <v>No</v>
      </c>
      <c r="G7" s="3" t="str">
        <f t="shared" si="1"/>
        <v>Not Eligible</v>
      </c>
      <c r="H7" s="4">
        <f t="shared" si="2"/>
        <v>0.05</v>
      </c>
      <c r="I7" s="5">
        <f t="shared" si="3"/>
        <v>6.5</v>
      </c>
      <c r="J7" s="3" t="str">
        <f t="shared" si="4"/>
        <v>Needs Improvement</v>
      </c>
      <c r="K7" s="3" t="str">
        <f t="shared" si="5"/>
        <v>Medium</v>
      </c>
      <c r="L7" s="3">
        <f t="shared" si="6"/>
        <v>300</v>
      </c>
      <c r="M7" s="3" t="str">
        <f t="shared" si="7"/>
        <v/>
      </c>
    </row>
    <row r="20" spans="1:1" x14ac:dyDescent="0.3">
      <c r="A20" s="1" t="s">
        <v>23</v>
      </c>
    </row>
    <row r="21" spans="1:1" x14ac:dyDescent="0.3">
      <c r="A21" t="s">
        <v>24</v>
      </c>
    </row>
    <row r="22" spans="1:1" x14ac:dyDescent="0.3">
      <c r="A22" t="s">
        <v>25</v>
      </c>
    </row>
    <row r="23" spans="1:1" x14ac:dyDescent="0.3">
      <c r="A23" t="s">
        <v>26</v>
      </c>
    </row>
    <row r="24" spans="1:1" x14ac:dyDescent="0.3">
      <c r="A24" t="s">
        <v>27</v>
      </c>
    </row>
    <row r="25" spans="1:1" x14ac:dyDescent="0.3">
      <c r="A25" t="s">
        <v>28</v>
      </c>
    </row>
    <row r="26" spans="1:1" x14ac:dyDescent="0.3">
      <c r="A26" t="s">
        <v>29</v>
      </c>
    </row>
    <row r="27" spans="1:1" x14ac:dyDescent="0.3">
      <c r="A27" t="s">
        <v>30</v>
      </c>
    </row>
    <row r="28" spans="1:1" x14ac:dyDescent="0.3">
      <c r="A28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Purbayan</dc:creator>
  <cp:lastModifiedBy>Purbayan</cp:lastModifiedBy>
  <dcterms:created xsi:type="dcterms:W3CDTF">2026-05-19T04:34:41Z</dcterms:created>
  <dcterms:modified xsi:type="dcterms:W3CDTF">2026-05-19T04:46:25Z</dcterms:modified>
</cp:coreProperties>
</file>