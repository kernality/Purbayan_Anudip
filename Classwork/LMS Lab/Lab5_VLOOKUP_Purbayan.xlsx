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urbayan\Desktop\Labs\"/>
    </mc:Choice>
  </mc:AlternateContent>
  <xr:revisionPtr revIDLastSave="0" documentId="8_{0351CEC5-D464-4946-BB29-4893B3620AE4}" xr6:coauthVersionLast="47" xr6:coauthVersionMax="47" xr10:uidLastSave="{00000000-0000-0000-0000-000000000000}"/>
  <bookViews>
    <workbookView xWindow="-108" yWindow="-108" windowWidth="23256" windowHeight="12720" activeTab="1" xr2:uid="{00000000-000D-0000-FFFF-FFFF00000000}"/>
  </bookViews>
  <sheets>
    <sheet name="Products" sheetId="1" r:id="rId1"/>
    <sheet name="Orders" sheetId="2" r:id="rId2"/>
    <sheet name="Summa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2" l="1"/>
  <c r="J3" i="2"/>
  <c r="J4" i="2"/>
  <c r="J5" i="2"/>
  <c r="J6" i="2"/>
  <c r="J7" i="2"/>
  <c r="J2" i="2"/>
  <c r="C7" i="3"/>
  <c r="B7" i="3"/>
  <c r="C6" i="3"/>
  <c r="B6" i="3"/>
  <c r="C5" i="3"/>
  <c r="B5" i="3"/>
  <c r="C4" i="3"/>
  <c r="B4" i="3"/>
  <c r="C3" i="3"/>
  <c r="B3" i="3"/>
  <c r="C2" i="3"/>
  <c r="B2" i="3"/>
  <c r="I7" i="2"/>
  <c r="H7" i="2"/>
  <c r="G7" i="2"/>
  <c r="E7" i="2"/>
  <c r="F7" i="2" s="1"/>
  <c r="D7" i="2"/>
  <c r="I6" i="2"/>
  <c r="H6" i="2"/>
  <c r="G6" i="2"/>
  <c r="E6" i="2"/>
  <c r="F6" i="2" s="1"/>
  <c r="D6" i="2"/>
  <c r="H5" i="2"/>
  <c r="I5" i="2" s="1"/>
  <c r="G5" i="2"/>
  <c r="F5" i="2"/>
  <c r="E5" i="2"/>
  <c r="D5" i="2"/>
  <c r="H4" i="2"/>
  <c r="I4" i="2" s="1"/>
  <c r="G4" i="2"/>
  <c r="E4" i="2"/>
  <c r="F4" i="2" s="1"/>
  <c r="D4" i="2"/>
  <c r="I3" i="2"/>
  <c r="H3" i="2"/>
  <c r="F3" i="2"/>
  <c r="E3" i="2"/>
  <c r="D3" i="2"/>
  <c r="H2" i="2"/>
  <c r="I2" i="2" s="1"/>
  <c r="G2" i="2"/>
  <c r="E2" i="2"/>
  <c r="F2" i="2" s="1"/>
  <c r="D2" i="2"/>
  <c r="G9" i="2" l="1"/>
</calcChain>
</file>

<file path=xl/sharedStrings.xml><?xml version="1.0" encoding="utf-8"?>
<sst xmlns="http://schemas.openxmlformats.org/spreadsheetml/2006/main" count="30" uniqueCount="28">
  <si>
    <t>PRODUCTID</t>
  </si>
  <si>
    <t>PRODUCT</t>
  </si>
  <si>
    <t>PRICE</t>
  </si>
  <si>
    <t>Ordered Status</t>
  </si>
  <si>
    <t>Product A</t>
  </si>
  <si>
    <t>Product B</t>
  </si>
  <si>
    <t>Product C</t>
  </si>
  <si>
    <t>Product D</t>
  </si>
  <si>
    <t>Product E</t>
  </si>
  <si>
    <t>Product F</t>
  </si>
  <si>
    <t>1. Use VLOOKUP to find the product names for each ProductID in the Orders worksheet.</t>
  </si>
  <si>
    <t>2. Use VLOOKUP to find the price for each ProductID in the Orders worksheet, then calculate the TotalPrice by multiplying the Quantity by the Product Price.</t>
  </si>
  <si>
    <t>3. Use VLOOKUP to check if there are any ProductIDs in the Orders worksheet that do not exist in the Products worksheet.</t>
  </si>
  <si>
    <t>4. Assume a discount of 10% is given on all products. Use VLOOKUP to find the original price and then calculate the discounted price.</t>
  </si>
  <si>
    <t>5. Use VLOOKUP to find the price for each ProductID and then calculate the order value. Find the maximum order value from the list.</t>
  </si>
  <si>
    <t>6. Use VLOOKUP to find out which products from the Products worksheet have not been ordered.</t>
  </si>
  <si>
    <t>7. Use VLOOKUP to find the Product name and summarize the total quantity sold for each product.</t>
  </si>
  <si>
    <t>OrderID</t>
  </si>
  <si>
    <t>ProductID</t>
  </si>
  <si>
    <t>Quantity</t>
  </si>
  <si>
    <t>Product Name</t>
  </si>
  <si>
    <t>Price</t>
  </si>
  <si>
    <t>TotalPrice</t>
  </si>
  <si>
    <t>Product exist or not</t>
  </si>
  <si>
    <t>Orig Price</t>
  </si>
  <si>
    <t>Disc Price (10%)</t>
  </si>
  <si>
    <t>Max Order Value:</t>
  </si>
  <si>
    <t>Total Quantity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</si>
</sst>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workbookViewId="0">
      <selection activeCell="F1" sqref="F1"/>
    </sheetView>
  </sheetViews>
  <sheetFormatPr defaultRowHeight="14.4" x14ac:dyDescent="0.3"/>
  <cols>
    <col min="1" max="1" width="11" customWidth="1"/>
    <col min="2" max="2" width="9.21875" bestFit="1" customWidth="1"/>
    <col min="3" max="3" width="5.88671875" bestFit="1" customWidth="1"/>
    <col min="4" max="4" width="11.109375" customWidth="1"/>
    <col min="5" max="5" width="15.88671875" customWidth="1"/>
    <col min="6" max="6" width="130.21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</row>
    <row r="2" spans="1:6" x14ac:dyDescent="0.3">
      <c r="A2" s="2">
        <v>101</v>
      </c>
      <c r="B2" s="2" t="s">
        <v>4</v>
      </c>
      <c r="C2" s="2">
        <v>120</v>
      </c>
    </row>
    <row r="3" spans="1:6" x14ac:dyDescent="0.3">
      <c r="A3" s="2">
        <v>102</v>
      </c>
      <c r="B3" s="2" t="s">
        <v>5</v>
      </c>
      <c r="C3" s="2">
        <v>150</v>
      </c>
    </row>
    <row r="4" spans="1:6" x14ac:dyDescent="0.3">
      <c r="A4" s="2">
        <v>103</v>
      </c>
      <c r="B4" s="2" t="s">
        <v>6</v>
      </c>
      <c r="C4" s="2">
        <v>200</v>
      </c>
    </row>
    <row r="5" spans="1:6" x14ac:dyDescent="0.3">
      <c r="A5" s="2">
        <v>104</v>
      </c>
      <c r="B5" s="2" t="s">
        <v>7</v>
      </c>
      <c r="C5" s="2">
        <v>90</v>
      </c>
    </row>
    <row r="6" spans="1:6" x14ac:dyDescent="0.3">
      <c r="A6" s="2">
        <v>105</v>
      </c>
      <c r="B6" s="2" t="s">
        <v>8</v>
      </c>
      <c r="C6" s="2">
        <v>220</v>
      </c>
    </row>
    <row r="7" spans="1:6" x14ac:dyDescent="0.3">
      <c r="A7" s="2">
        <v>106</v>
      </c>
      <c r="B7" s="2" t="s">
        <v>9</v>
      </c>
      <c r="C7" s="2">
        <v>130</v>
      </c>
      <c r="F7" t="s">
        <v>10</v>
      </c>
    </row>
    <row r="8" spans="1:6" x14ac:dyDescent="0.3">
      <c r="F8" t="s">
        <v>11</v>
      </c>
    </row>
    <row r="9" spans="1:6" x14ac:dyDescent="0.3">
      <c r="F9" t="s">
        <v>12</v>
      </c>
    </row>
    <row r="10" spans="1:6" x14ac:dyDescent="0.3">
      <c r="F10" t="s">
        <v>13</v>
      </c>
    </row>
    <row r="11" spans="1:6" x14ac:dyDescent="0.3">
      <c r="F11" t="s">
        <v>14</v>
      </c>
    </row>
    <row r="12" spans="1:6" x14ac:dyDescent="0.3">
      <c r="F12" t="s">
        <v>15</v>
      </c>
    </row>
    <row r="13" spans="1:6" x14ac:dyDescent="0.3">
      <c r="F13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"/>
  <sheetViews>
    <sheetView tabSelected="1" topLeftCell="C1" workbookViewId="0">
      <selection activeCell="J11" sqref="J11"/>
    </sheetView>
  </sheetViews>
  <sheetFormatPr defaultRowHeight="14.4" x14ac:dyDescent="0.3"/>
  <cols>
    <col min="1" max="1" width="7.5546875" bestFit="1" customWidth="1"/>
    <col min="2" max="2" width="9.44140625" bestFit="1" customWidth="1"/>
    <col min="3" max="3" width="8.33203125" bestFit="1" customWidth="1"/>
    <col min="4" max="4" width="13.21875" bestFit="1" customWidth="1"/>
    <col min="5" max="5" width="5.109375" bestFit="1" customWidth="1"/>
    <col min="6" max="6" width="15.77734375" bestFit="1" customWidth="1"/>
    <col min="7" max="7" width="17.6640625" bestFit="1" customWidth="1"/>
    <col min="8" max="8" width="9" bestFit="1" customWidth="1"/>
    <col min="9" max="9" width="14.21875" bestFit="1" customWidth="1"/>
    <col min="10" max="10" width="13.109375" customWidth="1"/>
  </cols>
  <sheetData>
    <row r="1" spans="1:10" x14ac:dyDescent="0.3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3</v>
      </c>
    </row>
    <row r="2" spans="1:10" x14ac:dyDescent="0.3">
      <c r="A2" s="2">
        <v>1</v>
      </c>
      <c r="B2" s="2">
        <v>101</v>
      </c>
      <c r="C2" s="2">
        <v>2</v>
      </c>
      <c r="D2" s="2" t="str">
        <f>VLOOKUP(B2, Products!$A$2:$C$7, 2, FALSE)</f>
        <v>Product A</v>
      </c>
      <c r="E2" s="2">
        <f>VLOOKUP(B2, Products!$A$2:$C$7, 3, FALSE)</f>
        <v>120</v>
      </c>
      <c r="F2" s="2">
        <f t="shared" ref="F2:F7" si="0">C2*E2</f>
        <v>240</v>
      </c>
      <c r="G2" s="2" t="str">
        <f>IF(ISNA(VLOOKUP(B2, Products!$A$2:$A$7, 1, FALSE)), "Not Available", "Available")</f>
        <v>Available</v>
      </c>
      <c r="H2" s="2">
        <f>VLOOKUP(B2, Products!$A$2:$C$7, 3, FALSE)</f>
        <v>120</v>
      </c>
      <c r="I2" s="2">
        <f t="shared" ref="I2:I7" si="1">H2*0.9</f>
        <v>108</v>
      </c>
      <c r="J2" s="2" t="str">
        <f>IF(ISNA(VLOOKUP(B2, Products!$A$2:$A$7, 1, FALSE)), "Not Ordered", "Ordered")</f>
        <v>Ordered</v>
      </c>
    </row>
    <row r="3" spans="1:10" x14ac:dyDescent="0.3">
      <c r="A3" s="2">
        <v>2</v>
      </c>
      <c r="B3" s="2">
        <v>103</v>
      </c>
      <c r="C3" s="2">
        <v>1</v>
      </c>
      <c r="D3" s="2" t="str">
        <f>VLOOKUP(B3, Products!$A$2:$C$7, 2, FALSE)</f>
        <v>Product C</v>
      </c>
      <c r="E3" s="2">
        <f>VLOOKUP(B3, Products!$A$2:$C$7, 3, FALSE)</f>
        <v>200</v>
      </c>
      <c r="F3" s="2">
        <f t="shared" si="0"/>
        <v>200</v>
      </c>
      <c r="G3" s="2" t="str">
        <f>IF(ISNA(VLOOKUP(B3, Products!$A$2:$A$7, 1, FALSE)), "Not Available", "Available")</f>
        <v>Available</v>
      </c>
      <c r="H3" s="2">
        <f>VLOOKUP(B3, Products!$A$2:$C$7, 3, FALSE)</f>
        <v>200</v>
      </c>
      <c r="I3" s="2">
        <f t="shared" si="1"/>
        <v>180</v>
      </c>
      <c r="J3" s="2" t="str">
        <f>IF(ISNA(VLOOKUP(B3, Products!$A$2:$A$7, 1, FALSE)), "Not Ordered", "Ordered")</f>
        <v>Ordered</v>
      </c>
    </row>
    <row r="4" spans="1:10" x14ac:dyDescent="0.3">
      <c r="A4" s="2">
        <v>3</v>
      </c>
      <c r="B4" s="2">
        <v>105</v>
      </c>
      <c r="C4" s="2">
        <v>4</v>
      </c>
      <c r="D4" s="2" t="str">
        <f>VLOOKUP(B4, Products!$A$2:$C$7, 2, FALSE)</f>
        <v>Product E</v>
      </c>
      <c r="E4" s="2">
        <f>VLOOKUP(B4, Products!$A$2:$C$7, 3, FALSE)</f>
        <v>220</v>
      </c>
      <c r="F4" s="2">
        <f t="shared" si="0"/>
        <v>880</v>
      </c>
      <c r="G4" s="2" t="str">
        <f>IF(ISNA(VLOOKUP(B4, Products!$A$2:$A$7, 1, FALSE)), "Not Available", "Available")</f>
        <v>Available</v>
      </c>
      <c r="H4" s="2">
        <f>VLOOKUP(B4, Products!$A$2:$C$7, 3, FALSE)</f>
        <v>220</v>
      </c>
      <c r="I4" s="2">
        <f t="shared" si="1"/>
        <v>198</v>
      </c>
      <c r="J4" s="2" t="str">
        <f>IF(ISNA(VLOOKUP(B4, Products!$A$2:$A$7, 1, FALSE)), "Not Ordered", "Ordered")</f>
        <v>Ordered</v>
      </c>
    </row>
    <row r="5" spans="1:10" x14ac:dyDescent="0.3">
      <c r="A5" s="2">
        <v>4</v>
      </c>
      <c r="B5" s="2">
        <v>106</v>
      </c>
      <c r="C5" s="2">
        <v>3</v>
      </c>
      <c r="D5" s="2" t="str">
        <f>VLOOKUP(B5, Products!$A$2:$C$7, 2, FALSE)</f>
        <v>Product F</v>
      </c>
      <c r="E5" s="2">
        <f>VLOOKUP(B5, Products!$A$2:$C$7, 3, FALSE)</f>
        <v>130</v>
      </c>
      <c r="F5" s="2">
        <f t="shared" si="0"/>
        <v>390</v>
      </c>
      <c r="G5" s="2" t="str">
        <f>IF(ISNA(VLOOKUP(B5, Products!$A$2:$A$7, 1, FALSE)), "Not Available", "Available")</f>
        <v>Available</v>
      </c>
      <c r="H5" s="2">
        <f>VLOOKUP(B5, Products!$A$2:$C$7, 3, FALSE)</f>
        <v>130</v>
      </c>
      <c r="I5" s="2">
        <f t="shared" si="1"/>
        <v>117</v>
      </c>
      <c r="J5" s="2" t="str">
        <f>IF(ISNA(VLOOKUP(B5, Products!$A$2:$A$7, 1, FALSE)), "Not Ordered", "Ordered")</f>
        <v>Ordered</v>
      </c>
    </row>
    <row r="6" spans="1:10" x14ac:dyDescent="0.3">
      <c r="A6" s="2">
        <v>5</v>
      </c>
      <c r="B6" s="2">
        <v>102</v>
      </c>
      <c r="C6" s="2">
        <v>5</v>
      </c>
      <c r="D6" s="2" t="str">
        <f>VLOOKUP(B6, Products!$A$2:$C$7, 2, FALSE)</f>
        <v>Product B</v>
      </c>
      <c r="E6" s="2">
        <f>VLOOKUP(B6, Products!$A$2:$C$7, 3, FALSE)</f>
        <v>150</v>
      </c>
      <c r="F6" s="2">
        <f t="shared" si="0"/>
        <v>750</v>
      </c>
      <c r="G6" s="2" t="str">
        <f>IF(ISNA(VLOOKUP(B6, Products!$A$2:$A$7, 1, FALSE)), "Not Available", "Available")</f>
        <v>Available</v>
      </c>
      <c r="H6" s="2">
        <f>VLOOKUP(B6, Products!$A$2:$C$7, 3, FALSE)</f>
        <v>150</v>
      </c>
      <c r="I6" s="2">
        <f t="shared" si="1"/>
        <v>135</v>
      </c>
      <c r="J6" s="2" t="str">
        <f>IF(ISNA(VLOOKUP(B6, Products!$A$2:$A$7, 1, FALSE)), "Not Ordered", "Ordered")</f>
        <v>Ordered</v>
      </c>
    </row>
    <row r="7" spans="1:10" x14ac:dyDescent="0.3">
      <c r="A7" s="2">
        <v>6</v>
      </c>
      <c r="B7" s="2">
        <v>104</v>
      </c>
      <c r="C7" s="2">
        <v>6</v>
      </c>
      <c r="D7" s="2" t="str">
        <f>VLOOKUP(B7, Products!$A$2:$C$7, 2, FALSE)</f>
        <v>Product D</v>
      </c>
      <c r="E7" s="2">
        <f>VLOOKUP(B7, Products!$A$2:$C$7, 3, FALSE)</f>
        <v>90</v>
      </c>
      <c r="F7" s="2">
        <f t="shared" si="0"/>
        <v>540</v>
      </c>
      <c r="G7" s="2" t="str">
        <f>IF(ISNA(VLOOKUP(B7, Products!$A$2:$A$7, 1, FALSE)), "Not Available", "Available")</f>
        <v>Available</v>
      </c>
      <c r="H7" s="2">
        <f>VLOOKUP(B7, Products!$A$2:$C$7, 3, FALSE)</f>
        <v>90</v>
      </c>
      <c r="I7" s="2">
        <f t="shared" si="1"/>
        <v>81</v>
      </c>
      <c r="J7" s="2" t="str">
        <f>IF(ISNA(VLOOKUP(B7, Products!$A$2:$A$7, 1, FALSE)), "Not Ordered", "Ordered")</f>
        <v>Ordered</v>
      </c>
    </row>
    <row r="9" spans="1:10" x14ac:dyDescent="0.3">
      <c r="F9" s="3" t="s">
        <v>26</v>
      </c>
      <c r="G9" s="2">
        <f>MAX(F2:F7)</f>
        <v>880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workbookViewId="0">
      <selection activeCell="B5" sqref="B5"/>
    </sheetView>
  </sheetViews>
  <sheetFormatPr defaultRowHeight="14.4" x14ac:dyDescent="0.3"/>
  <cols>
    <col min="1" max="1" width="9.44140625" bestFit="1" customWidth="1"/>
    <col min="2" max="2" width="13.21875" bestFit="1" customWidth="1"/>
    <col min="3" max="3" width="17.33203125" bestFit="1" customWidth="1"/>
  </cols>
  <sheetData>
    <row r="1" spans="1:3" x14ac:dyDescent="0.3">
      <c r="A1" s="1" t="s">
        <v>18</v>
      </c>
      <c r="B1" s="1" t="s">
        <v>20</v>
      </c>
      <c r="C1" s="1" t="s">
        <v>27</v>
      </c>
    </row>
    <row r="2" spans="1:3" x14ac:dyDescent="0.3">
      <c r="A2" s="2">
        <v>101</v>
      </c>
      <c r="B2" s="2" t="str">
        <f>VLOOKUP(A2, Products!$A$2:$C$7, 2, FALSE)</f>
        <v>Product A</v>
      </c>
      <c r="C2" s="2">
        <f>SUMIF(Orders!$B$2:$B$7, A2, Orders!$C$2:$C$7)</f>
        <v>2</v>
      </c>
    </row>
    <row r="3" spans="1:3" x14ac:dyDescent="0.3">
      <c r="A3" s="2">
        <v>102</v>
      </c>
      <c r="B3" s="2" t="str">
        <f>VLOOKUP(A3, Products!$A$2:$C$7, 2, FALSE)</f>
        <v>Product B</v>
      </c>
      <c r="C3" s="2">
        <f>SUMIF(Orders!$B$2:$B$7, A3, Orders!$C$2:$C$7)</f>
        <v>5</v>
      </c>
    </row>
    <row r="4" spans="1:3" x14ac:dyDescent="0.3">
      <c r="A4" s="2">
        <v>103</v>
      </c>
      <c r="B4" s="2" t="str">
        <f>VLOOKUP(A4, Products!$A$2:$C$7, 2, FALSE)</f>
        <v>Product C</v>
      </c>
      <c r="C4" s="2">
        <f>SUMIF(Orders!$B$2:$B$7, A4, Orders!$C$2:$C$7)</f>
        <v>1</v>
      </c>
    </row>
    <row r="5" spans="1:3" x14ac:dyDescent="0.3">
      <c r="A5" s="2">
        <v>104</v>
      </c>
      <c r="B5" s="2" t="str">
        <f>VLOOKUP(A5, Products!$A$2:$C$7, 2, FALSE)</f>
        <v>Product D</v>
      </c>
      <c r="C5" s="2">
        <f>SUMIF(Orders!$B$2:$B$7, A5, Orders!$C$2:$C$7)</f>
        <v>6</v>
      </c>
    </row>
    <row r="6" spans="1:3" x14ac:dyDescent="0.3">
      <c r="A6" s="2">
        <v>105</v>
      </c>
      <c r="B6" s="2" t="str">
        <f>VLOOKUP(A6, Products!$A$2:$C$7, 2, FALSE)</f>
        <v>Product E</v>
      </c>
      <c r="C6" s="2">
        <f>SUMIF(Orders!$B$2:$B$7, A6, Orders!$C$2:$C$7)</f>
        <v>4</v>
      </c>
    </row>
    <row r="7" spans="1:3" x14ac:dyDescent="0.3">
      <c r="A7" s="2">
        <v>106</v>
      </c>
      <c r="B7" s="2" t="str">
        <f>VLOOKUP(A7, Products!$A$2:$C$7, 2, FALSE)</f>
        <v>Product F</v>
      </c>
      <c r="C7" s="2">
        <f>SUMIF(Orders!$B$2:$B$7, A7, Orders!$C$2:$C$7)</f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</vt:lpstr>
      <vt:lpstr>Orders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Purbayan</dc:creator>
  <cp:lastModifiedBy>Purbayan</cp:lastModifiedBy>
  <dcterms:created xsi:type="dcterms:W3CDTF">2026-05-24T23:19:09Z</dcterms:created>
  <dcterms:modified xsi:type="dcterms:W3CDTF">2026-05-29T02:38:27Z</dcterms:modified>
</cp:coreProperties>
</file>