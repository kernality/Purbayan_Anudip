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urbayan\Desktop\Labs\"/>
    </mc:Choice>
  </mc:AlternateContent>
  <xr:revisionPtr revIDLastSave="0" documentId="8_{791E683F-F7A7-4782-9CB2-7243472D4255}" xr6:coauthVersionLast="47" xr6:coauthVersionMax="47" xr10:uidLastSave="{00000000-0000-0000-0000-000000000000}"/>
  <bookViews>
    <workbookView xWindow="-108" yWindow="-108" windowWidth="23256" windowHeight="12720" activeTab="2" xr2:uid="{00000000-000D-0000-FFFF-FFFF00000000}"/>
  </bookViews>
  <sheets>
    <sheet name="Questions" sheetId="1" r:id="rId1"/>
    <sheet name="Sales Data" sheetId="2" r:id="rId2"/>
    <sheet name="Solu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3" l="1"/>
  <c r="F17" i="3"/>
  <c r="E17" i="3"/>
  <c r="D17" i="3"/>
  <c r="C17" i="3"/>
  <c r="B17" i="3"/>
  <c r="D24" i="3" s="1"/>
  <c r="G16" i="3"/>
  <c r="F16" i="3"/>
  <c r="E16" i="3"/>
  <c r="D16" i="3"/>
  <c r="C16" i="3"/>
  <c r="D25" i="3" s="1"/>
  <c r="B16" i="3"/>
  <c r="G15" i="3"/>
  <c r="F15" i="3"/>
  <c r="E15" i="3"/>
  <c r="D15" i="3"/>
  <c r="C15" i="3"/>
  <c r="B15" i="3"/>
  <c r="F14" i="3"/>
  <c r="E14" i="3"/>
  <c r="D14" i="3"/>
  <c r="C14" i="3"/>
  <c r="G14" i="3" s="1"/>
  <c r="B14" i="3"/>
  <c r="F13" i="3"/>
  <c r="E13" i="3"/>
  <c r="D13" i="3"/>
  <c r="C13" i="3"/>
  <c r="G13" i="3" s="1"/>
  <c r="B13" i="3"/>
  <c r="D23" i="3" s="1"/>
  <c r="F12" i="3"/>
  <c r="E12" i="3"/>
  <c r="D12" i="3"/>
  <c r="C12" i="3"/>
  <c r="G12" i="3" s="1"/>
  <c r="B12" i="3"/>
  <c r="D6" i="3"/>
  <c r="D5" i="3"/>
  <c r="D4" i="3"/>
</calcChain>
</file>

<file path=xl/sharedStrings.xml><?xml version="1.0" encoding="utf-8"?>
<sst xmlns="http://schemas.openxmlformats.org/spreadsheetml/2006/main" count="60" uniqueCount="40">
  <si>
    <t>1. Use HLOOKUP to find the sales for Product A in March.</t>
  </si>
  <si>
    <t>2. Use HLOOKUP to find the sales for Product D in May.</t>
  </si>
  <si>
    <t>3. Use HLOOKUP to find the sales for Product C in February.</t>
  </si>
  <si>
    <t>4. Use HLOOKUP to find the sales for each month for a product, then calculate the total sales for that product.</t>
  </si>
  <si>
    <t>5. Use HLOOKUP to find the maximum sales value for Product B across all months.</t>
  </si>
  <si>
    <t>6. Use HLOOKUP to find the minimum sales value for Product F across all months.</t>
  </si>
  <si>
    <t>7. Use HLOOKUP to find the average sales value for Product E across all months.</t>
  </si>
  <si>
    <t>Product / Month</t>
  </si>
  <si>
    <t>Jan</t>
  </si>
  <si>
    <t>Feb</t>
  </si>
  <si>
    <t>Mar</t>
  </si>
  <si>
    <t>Apr</t>
  </si>
  <si>
    <t>May</t>
  </si>
  <si>
    <t>Product A</t>
  </si>
  <si>
    <t>Product B</t>
  </si>
  <si>
    <t>Product C</t>
  </si>
  <si>
    <t>Product D</t>
  </si>
  <si>
    <t>Product E</t>
  </si>
  <si>
    <t>Product F</t>
  </si>
  <si>
    <t>Question</t>
  </si>
  <si>
    <t>Target Product</t>
  </si>
  <si>
    <t>Target Month</t>
  </si>
  <si>
    <t>HLOOKUP Formula Answer</t>
  </si>
  <si>
    <t>Q1: Sales for Product A in March</t>
  </si>
  <si>
    <t>Q2: Sales for Product D in May</t>
  </si>
  <si>
    <t>Q3: Sales for Product C in February</t>
  </si>
  <si>
    <t>Product</t>
  </si>
  <si>
    <t>Total Sales (SUM)</t>
  </si>
  <si>
    <t>Question Description</t>
  </si>
  <si>
    <t>Product Scope</t>
  </si>
  <si>
    <t>Metric Applied</t>
  </si>
  <si>
    <t>Formula Answer Value</t>
  </si>
  <si>
    <t>Q5: Max sales for Product B across all months</t>
  </si>
  <si>
    <t>MAX</t>
  </si>
  <si>
    <t>Q6: Min sales for Product F across all months</t>
  </si>
  <si>
    <t>MIN</t>
  </si>
  <si>
    <t>Q7: Average sales for Product E across all months</t>
  </si>
  <si>
    <t>AVERAGE</t>
  </si>
  <si>
    <t>HLOOKUP Lab Questions</t>
  </si>
  <si>
    <t>Question 4: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</si>
</sst>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1F497D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6"/>
      <color rgb="FF1F497D"/>
      <name val="Calibri"/>
      <family val="2"/>
    </font>
    <font>
      <b/>
      <sz val="11"/>
      <color rgb="FF333333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2F5F8"/>
        <bgColor rgb="FFF2F5F8"/>
      </patternFill>
    </fill>
    <fill>
      <patternFill patternType="solid">
        <fgColor rgb="FF366092"/>
        <bgColor rgb="FF366092"/>
      </patternFill>
    </fill>
    <fill>
      <patternFill patternType="solid">
        <fgColor rgb="FFDCE6F1"/>
        <bgColor rgb="FFDCE6F1"/>
      </patternFill>
    </fill>
    <fill>
      <patternFill patternType="solid">
        <fgColor rgb="FFE9EDF4"/>
        <bgColor rgb="FFE9EDF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/>
    <xf numFmtId="3" fontId="3" fillId="0" borderId="1" xfId="0" applyNumberFormat="1" applyFont="1" applyBorder="1" applyAlignment="1">
      <alignment horizontal="right"/>
    </xf>
    <xf numFmtId="3" fontId="4" fillId="4" borderId="1" xfId="0" applyNumberFormat="1" applyFont="1" applyFill="1" applyBorder="1" applyAlignment="1">
      <alignment horizontal="right"/>
    </xf>
    <xf numFmtId="0" fontId="1" fillId="0" borderId="1" xfId="0" applyFont="1" applyBorder="1"/>
    <xf numFmtId="3" fontId="4" fillId="5" borderId="1" xfId="0" applyNumberFormat="1" applyFont="1" applyFill="1" applyBorder="1" applyAlignment="1">
      <alignment horizontal="right"/>
    </xf>
    <xf numFmtId="0" fontId="6" fillId="0" borderId="2" xfId="0" applyFont="1" applyBorder="1"/>
    <xf numFmtId="0" fontId="5" fillId="0" borderId="3" xfId="0" applyFont="1" applyBorder="1"/>
    <xf numFmtId="0" fontId="7" fillId="2" borderId="3" xfId="0" applyFont="1" applyFill="1" applyBorder="1" applyAlignment="1">
      <alignment vertical="center" indent="1"/>
    </xf>
    <xf numFmtId="0" fontId="7" fillId="2" borderId="4" xfId="0" applyFont="1" applyFill="1" applyBorder="1" applyAlignment="1">
      <alignment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workbookViewId="0">
      <selection activeCell="C7" sqref="C7"/>
    </sheetView>
  </sheetViews>
  <sheetFormatPr defaultRowHeight="14.4" x14ac:dyDescent="0.3"/>
  <cols>
    <col min="1" max="1" width="93.44140625" customWidth="1"/>
  </cols>
  <sheetData>
    <row r="1" spans="1:1" ht="21" x14ac:dyDescent="0.4">
      <c r="A1" s="9" t="s">
        <v>38</v>
      </c>
    </row>
    <row r="2" spans="1:1" x14ac:dyDescent="0.3">
      <c r="A2" s="10"/>
    </row>
    <row r="3" spans="1:1" ht="24" customHeight="1" x14ac:dyDescent="0.3">
      <c r="A3" s="11" t="s">
        <v>0</v>
      </c>
    </row>
    <row r="4" spans="1:1" ht="24" customHeight="1" x14ac:dyDescent="0.3">
      <c r="A4" s="11" t="s">
        <v>1</v>
      </c>
    </row>
    <row r="5" spans="1:1" ht="24" customHeight="1" x14ac:dyDescent="0.3">
      <c r="A5" s="11" t="s">
        <v>2</v>
      </c>
    </row>
    <row r="6" spans="1:1" ht="24" customHeight="1" x14ac:dyDescent="0.3">
      <c r="A6" s="11" t="s">
        <v>3</v>
      </c>
    </row>
    <row r="7" spans="1:1" ht="24" customHeight="1" x14ac:dyDescent="0.3">
      <c r="A7" s="11" t="s">
        <v>4</v>
      </c>
    </row>
    <row r="8" spans="1:1" ht="24" customHeight="1" x14ac:dyDescent="0.3">
      <c r="A8" s="11" t="s">
        <v>5</v>
      </c>
    </row>
    <row r="9" spans="1:1" ht="24" customHeight="1" x14ac:dyDescent="0.3">
      <c r="A9" s="12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>
      <selection activeCell="H6" sqref="H6"/>
    </sheetView>
  </sheetViews>
  <sheetFormatPr defaultRowHeight="14.4" x14ac:dyDescent="0.3"/>
  <cols>
    <col min="1" max="1" width="15.33203125" bestFit="1" customWidth="1"/>
    <col min="2" max="3" width="4" bestFit="1" customWidth="1"/>
    <col min="4" max="4" width="4.44140625" bestFit="1" customWidth="1"/>
    <col min="5" max="5" width="4" bestFit="1" customWidth="1"/>
    <col min="6" max="6" width="4.77734375" bestFit="1" customWidth="1"/>
  </cols>
  <sheetData>
    <row r="1" spans="1:6" ht="15.6" x14ac:dyDescent="0.3">
      <c r="A1" s="1"/>
    </row>
    <row r="3" spans="1:6" x14ac:dyDescent="0.3">
      <c r="A3" s="2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</row>
    <row r="4" spans="1:6" x14ac:dyDescent="0.3">
      <c r="A4" s="4" t="s">
        <v>13</v>
      </c>
      <c r="B4" s="5">
        <v>120</v>
      </c>
      <c r="C4" s="5">
        <v>130</v>
      </c>
      <c r="D4" s="5">
        <v>140</v>
      </c>
      <c r="E4" s="5">
        <v>150</v>
      </c>
      <c r="F4" s="5">
        <v>160</v>
      </c>
    </row>
    <row r="5" spans="1:6" x14ac:dyDescent="0.3">
      <c r="A5" s="4" t="s">
        <v>14</v>
      </c>
      <c r="B5" s="5">
        <v>150</v>
      </c>
      <c r="C5" s="5">
        <v>160</v>
      </c>
      <c r="D5" s="5">
        <v>170</v>
      </c>
      <c r="E5" s="5">
        <v>180</v>
      </c>
      <c r="F5" s="5">
        <v>190</v>
      </c>
    </row>
    <row r="6" spans="1:6" x14ac:dyDescent="0.3">
      <c r="A6" s="4" t="s">
        <v>15</v>
      </c>
      <c r="B6" s="5">
        <v>200</v>
      </c>
      <c r="C6" s="5">
        <v>210</v>
      </c>
      <c r="D6" s="5">
        <v>220</v>
      </c>
      <c r="E6" s="5">
        <v>230</v>
      </c>
      <c r="F6" s="5">
        <v>240</v>
      </c>
    </row>
    <row r="7" spans="1:6" x14ac:dyDescent="0.3">
      <c r="A7" s="4" t="s">
        <v>16</v>
      </c>
      <c r="B7" s="5">
        <v>90</v>
      </c>
      <c r="C7" s="5">
        <v>100</v>
      </c>
      <c r="D7" s="5">
        <v>110</v>
      </c>
      <c r="E7" s="5">
        <v>120</v>
      </c>
      <c r="F7" s="5">
        <v>130</v>
      </c>
    </row>
    <row r="8" spans="1:6" x14ac:dyDescent="0.3">
      <c r="A8" s="4" t="s">
        <v>17</v>
      </c>
      <c r="B8" s="5">
        <v>220</v>
      </c>
      <c r="C8" s="5">
        <v>230</v>
      </c>
      <c r="D8" s="5">
        <v>240</v>
      </c>
      <c r="E8" s="5">
        <v>250</v>
      </c>
      <c r="F8" s="5">
        <v>260</v>
      </c>
    </row>
    <row r="9" spans="1:6" x14ac:dyDescent="0.3">
      <c r="A9" s="4" t="s">
        <v>18</v>
      </c>
      <c r="B9" s="5">
        <v>130</v>
      </c>
      <c r="C9" s="5">
        <v>140</v>
      </c>
      <c r="D9" s="5">
        <v>150</v>
      </c>
      <c r="E9" s="5">
        <v>160</v>
      </c>
      <c r="F9" s="5">
        <v>170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"/>
  <sheetViews>
    <sheetView tabSelected="1" workbookViewId="0">
      <selection activeCell="A29" sqref="A29"/>
    </sheetView>
  </sheetViews>
  <sheetFormatPr defaultRowHeight="14.4" x14ac:dyDescent="0.3"/>
  <cols>
    <col min="1" max="1" width="41.88671875" bestFit="1" customWidth="1"/>
    <col min="2" max="2" width="13.5546875" bestFit="1" customWidth="1"/>
    <col min="3" max="3" width="13.44140625" bestFit="1" customWidth="1"/>
    <col min="4" max="4" width="23.6640625" bestFit="1" customWidth="1"/>
    <col min="5" max="5" width="4" bestFit="1" customWidth="1"/>
    <col min="6" max="6" width="4.77734375" bestFit="1" customWidth="1"/>
    <col min="7" max="7" width="15.88671875" bestFit="1" customWidth="1"/>
  </cols>
  <sheetData>
    <row r="1" spans="1:7" ht="15.6" x14ac:dyDescent="0.3">
      <c r="A1" s="1"/>
    </row>
    <row r="3" spans="1:7" x14ac:dyDescent="0.3">
      <c r="A3" s="2" t="s">
        <v>19</v>
      </c>
      <c r="B3" s="3" t="s">
        <v>20</v>
      </c>
      <c r="C3" s="3" t="s">
        <v>21</v>
      </c>
      <c r="D3" s="3" t="s">
        <v>22</v>
      </c>
    </row>
    <row r="4" spans="1:7" x14ac:dyDescent="0.3">
      <c r="A4" s="4" t="s">
        <v>23</v>
      </c>
      <c r="B4" s="4" t="s">
        <v>13</v>
      </c>
      <c r="C4" s="4" t="s">
        <v>10</v>
      </c>
      <c r="D4" s="6">
        <f>HLOOKUP("Mar", 'Sales Data'!$A$3:$F$10, 2, FALSE)</f>
        <v>140</v>
      </c>
    </row>
    <row r="5" spans="1:7" x14ac:dyDescent="0.3">
      <c r="A5" s="4" t="s">
        <v>24</v>
      </c>
      <c r="B5" s="4" t="s">
        <v>16</v>
      </c>
      <c r="C5" s="4" t="s">
        <v>12</v>
      </c>
      <c r="D5" s="6">
        <f>HLOOKUP("May", 'Sales Data'!$A$3:$F$10, 5, FALSE)</f>
        <v>130</v>
      </c>
    </row>
    <row r="6" spans="1:7" x14ac:dyDescent="0.3">
      <c r="A6" s="4" t="s">
        <v>25</v>
      </c>
      <c r="B6" s="4" t="s">
        <v>15</v>
      </c>
      <c r="C6" s="4" t="s">
        <v>9</v>
      </c>
      <c r="D6" s="6">
        <f>HLOOKUP("Feb", 'Sales Data'!$A$3:$F$10, 4, FALSE)</f>
        <v>210</v>
      </c>
    </row>
    <row r="9" spans="1:7" ht="15.6" x14ac:dyDescent="0.3">
      <c r="A9" s="7" t="s">
        <v>39</v>
      </c>
    </row>
    <row r="11" spans="1:7" x14ac:dyDescent="0.3">
      <c r="A11" s="2" t="s">
        <v>26</v>
      </c>
      <c r="B11" s="3" t="s">
        <v>8</v>
      </c>
      <c r="C11" s="3" t="s">
        <v>9</v>
      </c>
      <c r="D11" s="3" t="s">
        <v>10</v>
      </c>
      <c r="E11" s="3" t="s">
        <v>11</v>
      </c>
      <c r="F11" s="3" t="s">
        <v>12</v>
      </c>
      <c r="G11" s="3" t="s">
        <v>27</v>
      </c>
    </row>
    <row r="12" spans="1:7" x14ac:dyDescent="0.3">
      <c r="A12" s="4" t="s">
        <v>13</v>
      </c>
      <c r="B12" s="5">
        <f>HLOOKUP("Jan", 'Sales Data'!$A$3:$F$10, 2, FALSE)</f>
        <v>120</v>
      </c>
      <c r="C12" s="5">
        <f>HLOOKUP("Feb", 'Sales Data'!$A$3:$F$10, 2, FALSE)</f>
        <v>130</v>
      </c>
      <c r="D12" s="5">
        <f>HLOOKUP("Mar", 'Sales Data'!$A$3:$F$10, 2, FALSE)</f>
        <v>140</v>
      </c>
      <c r="E12" s="5">
        <f>HLOOKUP("Apr", 'Sales Data'!$A$3:$F$10, 2, FALSE)</f>
        <v>150</v>
      </c>
      <c r="F12" s="5">
        <f>HLOOKUP("May", 'Sales Data'!$A$3:$F$10, 2, FALSE)</f>
        <v>160</v>
      </c>
      <c r="G12" s="8">
        <f t="shared" ref="G12:G17" si="0">SUM(B12:F12)</f>
        <v>700</v>
      </c>
    </row>
    <row r="13" spans="1:7" x14ac:dyDescent="0.3">
      <c r="A13" s="4" t="s">
        <v>14</v>
      </c>
      <c r="B13" s="5">
        <f>HLOOKUP("Jan", 'Sales Data'!$A$3:$F$10, 3, FALSE)</f>
        <v>150</v>
      </c>
      <c r="C13" s="5">
        <f>HLOOKUP("Feb", 'Sales Data'!$A$3:$F$10, 3, FALSE)</f>
        <v>160</v>
      </c>
      <c r="D13" s="5">
        <f>HLOOKUP("Mar", 'Sales Data'!$A$3:$F$10, 3, FALSE)</f>
        <v>170</v>
      </c>
      <c r="E13" s="5">
        <f>HLOOKUP("Apr", 'Sales Data'!$A$3:$F$10, 3, FALSE)</f>
        <v>180</v>
      </c>
      <c r="F13" s="5">
        <f>HLOOKUP("May", 'Sales Data'!$A$3:$F$10, 3, FALSE)</f>
        <v>190</v>
      </c>
      <c r="G13" s="8">
        <f t="shared" si="0"/>
        <v>850</v>
      </c>
    </row>
    <row r="14" spans="1:7" x14ac:dyDescent="0.3">
      <c r="A14" s="4" t="s">
        <v>15</v>
      </c>
      <c r="B14" s="5">
        <f>HLOOKUP("Jan", 'Sales Data'!$A$3:$F$10, 4, FALSE)</f>
        <v>200</v>
      </c>
      <c r="C14" s="5">
        <f>HLOOKUP("Feb", 'Sales Data'!$A$3:$F$10, 4, FALSE)</f>
        <v>210</v>
      </c>
      <c r="D14" s="5">
        <f>HLOOKUP("Mar", 'Sales Data'!$A$3:$F$10, 4, FALSE)</f>
        <v>220</v>
      </c>
      <c r="E14" s="5">
        <f>HLOOKUP("Apr", 'Sales Data'!$A$3:$F$10, 4, FALSE)</f>
        <v>230</v>
      </c>
      <c r="F14" s="5">
        <f>HLOOKUP("May", 'Sales Data'!$A$3:$F$10, 4, FALSE)</f>
        <v>240</v>
      </c>
      <c r="G14" s="8">
        <f t="shared" si="0"/>
        <v>1100</v>
      </c>
    </row>
    <row r="15" spans="1:7" x14ac:dyDescent="0.3">
      <c r="A15" s="4" t="s">
        <v>16</v>
      </c>
      <c r="B15" s="5">
        <f>HLOOKUP("Jan", 'Sales Data'!$A$3:$F$10, 5, FALSE)</f>
        <v>90</v>
      </c>
      <c r="C15" s="5">
        <f>HLOOKUP("Feb", 'Sales Data'!$A$3:$F$10, 5, FALSE)</f>
        <v>100</v>
      </c>
      <c r="D15" s="5">
        <f>HLOOKUP("Mar", 'Sales Data'!$A$3:$F$10, 5, FALSE)</f>
        <v>110</v>
      </c>
      <c r="E15" s="5">
        <f>HLOOKUP("Apr", 'Sales Data'!$A$3:$F$10, 5, FALSE)</f>
        <v>120</v>
      </c>
      <c r="F15" s="5">
        <f>HLOOKUP("May", 'Sales Data'!$A$3:$F$10, 5, FALSE)</f>
        <v>130</v>
      </c>
      <c r="G15" s="8">
        <f t="shared" si="0"/>
        <v>550</v>
      </c>
    </row>
    <row r="16" spans="1:7" x14ac:dyDescent="0.3">
      <c r="A16" s="4" t="s">
        <v>17</v>
      </c>
      <c r="B16" s="5">
        <f>HLOOKUP("Jan", 'Sales Data'!$A$3:$F$10, 6, FALSE)</f>
        <v>220</v>
      </c>
      <c r="C16" s="5">
        <f>HLOOKUP("Feb", 'Sales Data'!$A$3:$F$10, 6, FALSE)</f>
        <v>230</v>
      </c>
      <c r="D16" s="5">
        <f>HLOOKUP("Mar", 'Sales Data'!$A$3:$F$10, 6, FALSE)</f>
        <v>240</v>
      </c>
      <c r="E16" s="5">
        <f>HLOOKUP("Apr", 'Sales Data'!$A$3:$F$10, 6, FALSE)</f>
        <v>250</v>
      </c>
      <c r="F16" s="5">
        <f>HLOOKUP("May", 'Sales Data'!$A$3:$F$10, 6, FALSE)</f>
        <v>260</v>
      </c>
      <c r="G16" s="8">
        <f t="shared" si="0"/>
        <v>1200</v>
      </c>
    </row>
    <row r="17" spans="1:7" x14ac:dyDescent="0.3">
      <c r="A17" s="4" t="s">
        <v>18</v>
      </c>
      <c r="B17" s="5">
        <f>HLOOKUP("Jan", 'Sales Data'!$A$3:$F$10, 7, FALSE)</f>
        <v>130</v>
      </c>
      <c r="C17" s="5">
        <f>HLOOKUP("Feb", 'Sales Data'!$A$3:$F$10, 7, FALSE)</f>
        <v>140</v>
      </c>
      <c r="D17" s="5">
        <f>HLOOKUP("Mar", 'Sales Data'!$A$3:$F$10, 7, FALSE)</f>
        <v>150</v>
      </c>
      <c r="E17" s="5">
        <f>HLOOKUP("Apr", 'Sales Data'!$A$3:$F$10, 7, FALSE)</f>
        <v>160</v>
      </c>
      <c r="F17" s="5">
        <f>HLOOKUP("May", 'Sales Data'!$A$3:$F$10, 7, FALSE)</f>
        <v>170</v>
      </c>
      <c r="G17" s="8">
        <f t="shared" si="0"/>
        <v>750</v>
      </c>
    </row>
    <row r="20" spans="1:7" ht="15.6" x14ac:dyDescent="0.3">
      <c r="A20" s="1"/>
    </row>
    <row r="22" spans="1:7" x14ac:dyDescent="0.3">
      <c r="A22" s="2" t="s">
        <v>28</v>
      </c>
      <c r="B22" s="3" t="s">
        <v>29</v>
      </c>
      <c r="C22" s="3" t="s">
        <v>30</v>
      </c>
      <c r="D22" s="3" t="s">
        <v>31</v>
      </c>
    </row>
    <row r="23" spans="1:7" x14ac:dyDescent="0.3">
      <c r="A23" s="4" t="s">
        <v>32</v>
      </c>
      <c r="B23" s="4" t="s">
        <v>14</v>
      </c>
      <c r="C23" s="4" t="s">
        <v>33</v>
      </c>
      <c r="D23" s="6">
        <f>MAX(B13:F13)</f>
        <v>190</v>
      </c>
    </row>
    <row r="24" spans="1:7" x14ac:dyDescent="0.3">
      <c r="A24" s="4" t="s">
        <v>34</v>
      </c>
      <c r="B24" s="4" t="s">
        <v>18</v>
      </c>
      <c r="C24" s="4" t="s">
        <v>35</v>
      </c>
      <c r="D24" s="6">
        <f>MIN(B17:F17)</f>
        <v>130</v>
      </c>
    </row>
    <row r="25" spans="1:7" x14ac:dyDescent="0.3">
      <c r="A25" s="4" t="s">
        <v>36</v>
      </c>
      <c r="B25" s="4" t="s">
        <v>17</v>
      </c>
      <c r="C25" s="4" t="s">
        <v>37</v>
      </c>
      <c r="D25" s="6">
        <f>AVERAGE(B16:F16)</f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Questions</vt:lpstr>
      <vt:lpstr>Sales Data</vt:lpstr>
      <vt:lpstr>Solutions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Purbayan</dc:creator>
  <cp:lastModifiedBy>Purbayan</cp:lastModifiedBy>
  <dcterms:created xsi:type="dcterms:W3CDTF">2026-05-25T02:50:53Z</dcterms:created>
  <dcterms:modified xsi:type="dcterms:W3CDTF">2026-05-29T02:41:34Z</dcterms:modified>
</cp:coreProperties>
</file>